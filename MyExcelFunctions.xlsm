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30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nch\OneDrive\Documents\MyProgramming\211009. xlam network share test\MyExcelFunctions\"/>
    </mc:Choice>
  </mc:AlternateContent>
  <xr:revisionPtr revIDLastSave="0" documentId="13_ncr:1_{898AB7F8-1B7E-4259-BB84-6A5AB46DD260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2" r:id="rId1"/>
    <sheet name="_IntelliSense_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9" i="2" l="1" a="1"/>
  <c r="P19" i="2" a="1"/>
  <c r="K19" i="2" a="1"/>
  <c r="F20" i="2" a="1"/>
  <c r="F21" i="2" a="1"/>
  <c r="F22" i="2" a="1"/>
  <c r="F18" i="2" a="1"/>
  <c r="F19" i="2" a="1"/>
  <c r="F16" i="2" a="1"/>
  <c r="F17" i="2" a="1"/>
  <c r="L21" i="2" a="1"/>
  <c r="J18" i="2" a="1"/>
  <c r="J17" i="2" a="1"/>
  <c r="J16" i="2" a="1"/>
  <c r="N19" i="2" l="1"/>
  <c r="P19" i="2"/>
  <c r="K19" i="2"/>
  <c r="L21" i="2"/>
  <c r="J18" i="2"/>
  <c r="J17" i="2"/>
  <c r="J16" i="2"/>
  <c r="F16" i="2"/>
  <c r="F21" i="2"/>
  <c r="F19" i="2"/>
  <c r="F18" i="2"/>
  <c r="F22" i="2"/>
  <c r="F20" i="2"/>
  <c r="F17" i="2"/>
  <c r="H17" i="2" a="1"/>
  <c r="G16" i="2" a="1"/>
  <c r="H19" i="2" a="1"/>
  <c r="H20" i="2" a="1"/>
  <c r="H20" i="2" l="1"/>
  <c r="H19" i="2"/>
  <c r="H17" i="2"/>
  <c r="G16" i="2"/>
  <c r="H16" i="2" a="1"/>
  <c r="H16" i="2" l="1"/>
  <c r="I16" i="2" a="1"/>
  <c r="I1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<sst xmlns="http://schemas.openxmlformats.org/spreadsheetml/2006/main" count="44" uniqueCount="31">
  <si>
    <t>MyVbaFunction</t>
  </si>
  <si>
    <t>FirstArg</t>
  </si>
  <si>
    <t>SndArg</t>
  </si>
  <si>
    <t>The Second Argument</t>
  </si>
  <si>
    <t>FunctionInfo</t>
  </si>
  <si>
    <t>A test function for VBA IntelliSense - with help</t>
  </si>
  <si>
    <t>test</t>
    <phoneticPr fontId="2"/>
  </si>
  <si>
    <t>vlookup_my</t>
    <phoneticPr fontId="2"/>
  </si>
  <si>
    <t>my vlookup</t>
    <phoneticPr fontId="2"/>
  </si>
  <si>
    <t>キー</t>
    <phoneticPr fontId="2"/>
  </si>
  <si>
    <t>a</t>
    <phoneticPr fontId="2"/>
  </si>
  <si>
    <t>b</t>
    <phoneticPr fontId="2"/>
  </si>
  <si>
    <t>ton</t>
    <phoneticPr fontId="2"/>
  </si>
  <si>
    <t>c</t>
    <phoneticPr fontId="2"/>
  </si>
  <si>
    <t>e3</t>
    <phoneticPr fontId="2"/>
  </si>
  <si>
    <t>abc</t>
    <phoneticPr fontId="2"/>
  </si>
  <si>
    <t>aaa</t>
    <phoneticPr fontId="2"/>
  </si>
  <si>
    <t>値の行範囲</t>
    <rPh sb="0" eb="1">
      <t>アタイ</t>
    </rPh>
    <rPh sb="2" eb="3">
      <t>ギョウ</t>
    </rPh>
    <rPh sb="3" eb="5">
      <t>ハンイ</t>
    </rPh>
    <phoneticPr fontId="2"/>
  </si>
  <si>
    <t>キーの行範囲</t>
    <rPh sb="3" eb="4">
      <t>ギョウ</t>
    </rPh>
    <rPh sb="4" eb="6">
      <t>ハンイ</t>
    </rPh>
    <phoneticPr fontId="2"/>
  </si>
  <si>
    <t>[0:最初に一致する行のみ表示]、1:一致する行すべて表示</t>
    <rPh sb="3" eb="5">
      <t>サイショ</t>
    </rPh>
    <rPh sb="6" eb="8">
      <t>イッチ</t>
    </rPh>
    <rPh sb="10" eb="11">
      <t>ギョウ</t>
    </rPh>
    <rPh sb="13" eb="15">
      <t>ヒョウジ</t>
    </rPh>
    <rPh sb="19" eb="21">
      <t>イッチ</t>
    </rPh>
    <rPh sb="23" eb="24">
      <t>ギョウ</t>
    </rPh>
    <rPh sb="27" eb="29">
      <t>ヒョウジ</t>
    </rPh>
    <phoneticPr fontId="2"/>
  </si>
  <si>
    <t>[0:完全一致検索]、1:あいまい検索</t>
    <rPh sb="3" eb="5">
      <t>カンゼン</t>
    </rPh>
    <rPh sb="5" eb="7">
      <t>イッチ</t>
    </rPh>
    <rPh sb="7" eb="9">
      <t>ケンサク</t>
    </rPh>
    <rPh sb="17" eb="19">
      <t>ケンサク</t>
    </rPh>
    <phoneticPr fontId="2"/>
  </si>
  <si>
    <t>[検索タイプ]</t>
    <rPh sb="1" eb="3">
      <t>ケンサク</t>
    </rPh>
    <phoneticPr fontId="2"/>
  </si>
  <si>
    <t>[表示タイプ]</t>
    <rPh sb="1" eb="3">
      <t>ヒョウジ</t>
    </rPh>
    <phoneticPr fontId="2"/>
  </si>
  <si>
    <t>[インデックス]</t>
    <phoneticPr fontId="2"/>
  </si>
  <si>
    <t>正・負の数[0]</t>
    <rPh sb="0" eb="1">
      <t>セイ</t>
    </rPh>
    <rPh sb="2" eb="3">
      <t>フ</t>
    </rPh>
    <rPh sb="4" eb="5">
      <t>カズ</t>
    </rPh>
    <phoneticPr fontId="2"/>
  </si>
  <si>
    <t>split_my</t>
    <phoneticPr fontId="2"/>
  </si>
  <si>
    <t>concat_my</t>
    <phoneticPr fontId="2"/>
  </si>
  <si>
    <t>replace_my</t>
    <phoneticPr fontId="2"/>
  </si>
  <si>
    <t>get_marged_value</t>
    <phoneticPr fontId="2"/>
  </si>
  <si>
    <r>
      <rPr>
        <i/>
        <sz val="11"/>
        <color theme="1"/>
        <rFont val="ＭＳ Ｐゴシック"/>
        <family val="3"/>
        <charset val="128"/>
        <scheme val="minor"/>
      </rPr>
      <t>a</t>
    </r>
    <r>
      <rPr>
        <b/>
        <sz val="11"/>
        <color theme="1"/>
        <rFont val="ＭＳ Ｐゴシック"/>
        <family val="3"/>
        <charset val="128"/>
        <scheme val="minor"/>
      </rPr>
      <t>sdf</t>
    </r>
    <phoneticPr fontId="2"/>
  </si>
  <si>
    <r>
      <t>as</t>
    </r>
    <r>
      <rPr>
        <sz val="11"/>
        <rFont val="ＭＳ Ｐゴシック"/>
        <family val="2"/>
        <scheme val="minor"/>
      </rPr>
      <t>dfasdf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</si>
</sst>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0"/>
      <color theme="1"/>
      <name val="Inherit"/>
      <family val="2"/>
    </font>
    <font>
      <sz val="11"/>
      <color indexed="9"/>
      <name val="ＭＳ Ｐゴシック"/>
      <family val="2"/>
      <scheme val="minor"/>
    </font>
    <font>
      <sz val="11"/>
      <color rgb="FF000000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9"/>
  <sheetViews>
    <sheetView tabSelected="1" topLeftCell="A13" workbookViewId="0">
      <selection activeCell="S16" sqref="S16"/>
    </sheetView>
  </sheetViews>
  <sheetFormatPr defaultRowHeight="13.5"/>
  <cols>
    <col min="1" max="5" width="9" style="4"/>
    <col min="6" max="6" width="9" style="3"/>
    <col min="7" max="7" width="9" style="4"/>
    <col min="8" max="8" width="9" style="3"/>
    <col min="9" max="16384" width="9" style="4"/>
  </cols>
  <sheetData>
    <row r="1" spans="1:16">
      <c r="A1" s="6" t="s">
        <v>10</v>
      </c>
      <c r="B1" s="4" t="s">
        <v>12</v>
      </c>
    </row>
    <row r="2" spans="1:16">
      <c r="A2" s="4" t="s">
        <v>10</v>
      </c>
      <c r="B2" s="4" t="s">
        <v>11</v>
      </c>
    </row>
    <row r="3" spans="1:16">
      <c r="A3" s="4" t="s">
        <v>10</v>
      </c>
      <c r="B3" s="4" t="s">
        <v>13</v>
      </c>
    </row>
    <row r="5" spans="1:16">
      <c r="A5" s="4">
        <v>43</v>
      </c>
      <c r="B5" s="4" t="s">
        <v>10</v>
      </c>
    </row>
    <row r="7" spans="1:16">
      <c r="A7" s="4" t="s">
        <v>15</v>
      </c>
      <c r="B7" s="4" t="s">
        <v>10</v>
      </c>
    </row>
    <row r="12" spans="1:16">
      <c r="A12" s="4" t="s">
        <v>16</v>
      </c>
      <c r="B12" s="4">
        <v>3</v>
      </c>
    </row>
    <row r="13" spans="1:16">
      <c r="A13" s="4" t="s">
        <v>10</v>
      </c>
      <c r="B13" s="4" t="s">
        <v>14</v>
      </c>
    </row>
    <row r="15" spans="1:16" ht="27">
      <c r="F15" s="3" t="s">
        <v>7</v>
      </c>
      <c r="G15" s="4" t="s">
        <v>25</v>
      </c>
      <c r="H15" s="3" t="s">
        <v>26</v>
      </c>
      <c r="I15" s="4" t="s">
        <v>27</v>
      </c>
      <c r="J15" s="4" t="s">
        <v>28</v>
      </c>
    </row>
    <row r="16" spans="1:16" ht="81">
      <c r="E16" s="4" t="s">
        <v>10</v>
      </c>
      <c r="F16" s="3" t="str" cm="1">
        <f t="array" ref="F16">vlookup_my("*"&amp;E16&amp;"*",$A:$A,$B:$B, 0, 0, 1)</f>
        <v>ton_x000D_
b_x000D_
c_x000D_
a_x000D_
3_x000D_
e3</v>
      </c>
      <c r="G16" s="3" t="str" cm="1">
        <f t="array" ref="G16">split_my(F16, CHAR(10), 2)</f>
        <v>c_x000D_</v>
      </c>
      <c r="H16" s="3" t="str" cm="1">
        <f t="array" ref="H16">concat_my(E16,F16,G16)</f>
        <v>aton_x000D_
b_x000D_
c_x000D_
a_x000D_
3_x000D_
e3c_x000D_</v>
      </c>
      <c r="I16" s="3" t="str" cm="1">
        <f t="array" ref="I16">replace_my(H16,CHAR(10), "")</f>
        <v>aton_x000D_b_x000D_c_x000D_a_x000D_3_x000D_e3c_x000D_</v>
      </c>
      <c r="J16" s="4" t="str" cm="1">
        <f t="array" ref="J16">get_marged_value(K16)</f>
        <v>1</v>
      </c>
      <c r="K16" s="5">
        <v>1</v>
      </c>
      <c r="L16" s="5"/>
      <c r="M16" s="5"/>
      <c r="N16" s="5"/>
      <c r="O16" s="5"/>
      <c r="P16" s="5"/>
    </row>
    <row r="17" spans="5:16" ht="81">
      <c r="E17" s="4" t="s">
        <v>10</v>
      </c>
      <c r="F17" s="3" t="str" cm="1">
        <f t="array" ref="F17">vlookup_my("*"&amp;E17&amp;"*",$A:$A,$B:$B, 0, 0, 1)</f>
        <v>ton_x000D_
b_x000D_
c_x000D_
a_x000D_
3_x000D_
e3</v>
      </c>
      <c r="H17" s="3" t="str" cm="1">
        <f t="array" ref="H17">concat_my(E17:G17)</f>
        <v>aton_x000D_
b_x000D_
c_x000D_
a_x000D_
3_x000D_
e3</v>
      </c>
      <c r="J17" s="4" t="str" cm="1">
        <f t="array" ref="J17">get_marged_value(K17)</f>
        <v>1</v>
      </c>
      <c r="K17" s="5"/>
      <c r="L17" s="5"/>
      <c r="M17" s="5"/>
      <c r="N17" s="5"/>
      <c r="O17" s="5"/>
      <c r="P17" s="5"/>
    </row>
    <row r="18" spans="5:16" ht="81">
      <c r="E18" s="4" t="s">
        <v>10</v>
      </c>
      <c r="F18" s="3" t="str" cm="1">
        <f t="array" ref="F18">vlookup_my("*"&amp;E18&amp;"*",$A:$A,$B:$B, 0, 0, 1)</f>
        <v>ton_x000D_
b_x000D_
c_x000D_
a_x000D_
3_x000D_
e3</v>
      </c>
      <c r="J18" s="4" t="str" cm="1">
        <f t="array" ref="J18">get_marged_value(O18)</f>
        <v>1</v>
      </c>
      <c r="K18" s="5"/>
      <c r="L18" s="5"/>
      <c r="M18" s="5"/>
      <c r="N18" s="5"/>
      <c r="O18" s="5"/>
      <c r="P18" s="5"/>
    </row>
    <row r="19" spans="5:16" ht="81">
      <c r="E19" s="4" t="s">
        <v>10</v>
      </c>
      <c r="F19" s="3" t="str" cm="1">
        <f t="array" ref="F19">vlookup_my("*"&amp;E19&amp;"*",$A:$A,$B:$B, 0, 0, 1)</f>
        <v>ton_x000D_
b_x000D_
c_x000D_
a_x000D_
3_x000D_
e3</v>
      </c>
      <c r="H19" s="8" t="str" cm="1">
        <f t="array" ref="H19">concat_my(E19,F19,G19)</f>
        <v>aton_x000D_
b_x000D_
c_x000D_
a_x000D_
3_x000D_
e3</v>
      </c>
      <c r="J19" s="7" t="s">
        <v>29</v>
      </c>
      <c r="K19" s="4" t="e" cm="1">
        <f t="array" ref="K19">copy_with_font(H19)</f>
        <v>#VALUE!</v>
      </c>
      <c r="M19" s="6" t="s">
        <v>30</v>
      </c>
      <c r="N19" s="12" t="e" cm="1">
        <f t="array" ref="N19">be_bold(M19)</f>
        <v>#VALUE!</v>
      </c>
      <c r="P19" s="11" t="str" cm="1">
        <f t="array" ref="P19">DifferenceTest("a", "a")</f>
        <v/>
      </c>
    </row>
    <row r="20" spans="5:16" ht="81">
      <c r="E20" s="4" t="s">
        <v>10</v>
      </c>
      <c r="F20" s="3" t="str" cm="1">
        <f t="array" ref="F20">vlookup_my("*"&amp;E20&amp;"*",$A:$A,$B:$B, 0, 0, 1)</f>
        <v>ton_x000D_
b_x000D_
c_x000D_
a_x000D_
3_x000D_
e3</v>
      </c>
      <c r="H20" s="8" t="str" cm="1">
        <f t="array" ref="H20">concat_my(E20,F20,G20)</f>
        <v>aton_x000D_
b_x000D_
c_x000D_
a_x000D_
3_x000D_
e3</v>
      </c>
      <c r="P20" s="10"/>
    </row>
    <row r="21" spans="5:16" ht="81">
      <c r="E21" s="4" t="s">
        <v>10</v>
      </c>
      <c r="F21" s="3" t="str" cm="1">
        <f t="array" ref="F21">vlookup_my("*"&amp;E21&amp;"*",$A:$A,$B:$B, 0, 0, 1)</f>
        <v>ton_x000D_
b_x000D_
c_x000D_
a_x000D_
3_x000D_
e3</v>
      </c>
      <c r="L21" s="4" t="str" cm="1">
        <f t="array" ref="L21">Color(M21)</f>
        <v/>
      </c>
      <c r="P21" s="9"/>
    </row>
    <row r="22" spans="5:16" ht="81">
      <c r="E22" s="4" t="s">
        <v>10</v>
      </c>
      <c r="F22" s="3" t="str" cm="1">
        <f t="array" ref="F22">vlookup_my("*"&amp;E22&amp;"*",$A:$A,$B:$B, 0, 0, 1)</f>
        <v>ton_x000D_
b_x000D_
c_x000D_
a_x000D_
3_x000D_
e3</v>
      </c>
      <c r="P22" s="10"/>
    </row>
    <row r="23" spans="5:16">
      <c r="P23" s="10"/>
    </row>
    <row r="24" spans="5:16">
      <c r="P24" s="10"/>
    </row>
    <row r="25" spans="5:16">
      <c r="P25" s="10"/>
    </row>
    <row r="26" spans="5:16">
      <c r="P26" s="10"/>
    </row>
    <row r="27" spans="5:16">
      <c r="P27" s="10"/>
    </row>
    <row r="28" spans="5:16">
      <c r="P28" s="9"/>
    </row>
    <row r="29" spans="5:16">
      <c r="P29" s="10"/>
    </row>
  </sheetData>
  <mergeCells count="1">
    <mergeCell ref="K16:P18"/>
  </mergeCells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3"/>
  <sheetViews>
    <sheetView topLeftCell="C1" workbookViewId="0">
      <selection activeCell="K3" sqref="K3"/>
    </sheetView>
  </sheetViews>
  <sheetFormatPr defaultRowHeight="13.5"/>
  <cols>
    <col min="1" max="1" width="15" bestFit="1" customWidth="1"/>
    <col min="2" max="2" width="46.625" bestFit="1" customWidth="1"/>
    <col min="3" max="3" width="32.875" customWidth="1"/>
    <col min="4" max="4" width="7.875" bestFit="1" customWidth="1"/>
    <col min="5" max="5" width="17.875" bestFit="1" customWidth="1"/>
    <col min="6" max="6" width="7.25" bestFit="1" customWidth="1"/>
    <col min="7" max="7" width="20.75" bestFit="1" customWidth="1"/>
  </cols>
  <sheetData>
    <row r="1" spans="1:15">
      <c r="A1" t="s">
        <v>4</v>
      </c>
      <c r="B1">
        <v>1</v>
      </c>
    </row>
    <row r="2" spans="1:15">
      <c r="A2" t="s">
        <v>0</v>
      </c>
      <c r="B2" t="s">
        <v>5</v>
      </c>
      <c r="C2" s="1"/>
      <c r="D2" t="s">
        <v>1</v>
      </c>
      <c r="E2" t="s">
        <v>6</v>
      </c>
      <c r="F2" t="s">
        <v>2</v>
      </c>
      <c r="G2" t="s">
        <v>3</v>
      </c>
    </row>
    <row r="3" spans="1:15" ht="54">
      <c r="A3" t="s">
        <v>7</v>
      </c>
      <c r="B3" t="s">
        <v>8</v>
      </c>
      <c r="D3" t="s">
        <v>9</v>
      </c>
      <c r="F3" t="s">
        <v>18</v>
      </c>
      <c r="H3" t="s">
        <v>17</v>
      </c>
      <c r="J3" t="s">
        <v>23</v>
      </c>
      <c r="K3" t="s">
        <v>24</v>
      </c>
      <c r="L3" t="s">
        <v>21</v>
      </c>
      <c r="M3" s="2" t="s">
        <v>20</v>
      </c>
      <c r="N3" t="s">
        <v>22</v>
      </c>
      <c r="O3" t="s">
        <v>19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_IntelliSense_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Hiroaki T</cp:lastModifiedBy>
  <dcterms:created xsi:type="dcterms:W3CDTF">2016-05-20T09:30:01Z</dcterms:created>
  <dcterms:modified xsi:type="dcterms:W3CDTF">2021-10-09T12:49:06Z</dcterms:modified>
</cp:coreProperties>
</file>